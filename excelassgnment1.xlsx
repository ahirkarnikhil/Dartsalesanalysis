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B:\AdvExcel\"/>
    </mc:Choice>
  </mc:AlternateContent>
  <xr:revisionPtr revIDLastSave="0" documentId="13_ncr:1_{9BA66FB9-6E3A-4706-A2F6-954B8DAB698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4" i="1"/>
  <c r="F5" i="1"/>
  <c r="F3" i="1"/>
  <c r="F10" i="1"/>
  <c r="F6" i="1"/>
  <c r="F2" i="1"/>
  <c r="F9" i="1"/>
  <c r="F8" i="1"/>
  <c r="F3" i="2"/>
  <c r="F4" i="2"/>
  <c r="F5" i="2"/>
  <c r="F6" i="2"/>
  <c r="F7" i="2"/>
  <c r="F8" i="2"/>
  <c r="F9" i="2"/>
  <c r="F10" i="2"/>
  <c r="F11" i="2"/>
  <c r="F2" i="2"/>
  <c r="G3" i="3"/>
  <c r="G4" i="3"/>
  <c r="G5" i="3"/>
  <c r="G6" i="3"/>
  <c r="G7" i="3"/>
  <c r="G8" i="3"/>
  <c r="G9" i="3"/>
  <c r="G10" i="3"/>
  <c r="G2" i="3"/>
  <c r="F3" i="3"/>
  <c r="F4" i="3"/>
  <c r="F5" i="3"/>
  <c r="F6" i="3"/>
  <c r="F7" i="3"/>
  <c r="F8" i="3"/>
  <c r="F9" i="3"/>
  <c r="F10" i="3"/>
  <c r="F2" i="3"/>
  <c r="E3" i="3"/>
  <c r="E4" i="3"/>
  <c r="E5" i="3"/>
  <c r="E6" i="3"/>
  <c r="E7" i="3"/>
  <c r="E8" i="3"/>
  <c r="E9" i="3"/>
  <c r="E10" i="3"/>
  <c r="E2" i="3"/>
  <c r="E3" i="4"/>
  <c r="E4" i="4"/>
  <c r="E5" i="4"/>
  <c r="E6" i="4"/>
  <c r="E7" i="4"/>
  <c r="E8" i="4"/>
  <c r="E9" i="4"/>
  <c r="E10" i="4"/>
  <c r="E11" i="4"/>
  <c r="E2" i="4"/>
  <c r="F3" i="4"/>
  <c r="F7" i="4"/>
  <c r="F8" i="4"/>
  <c r="F9" i="4"/>
  <c r="F10" i="4"/>
  <c r="F11" i="4"/>
  <c r="F2" i="4"/>
  <c r="C12" i="4"/>
  <c r="B12" i="4"/>
  <c r="D3" i="4"/>
  <c r="D4" i="4"/>
  <c r="F4" i="4" s="1"/>
  <c r="D5" i="4"/>
  <c r="F5" i="4" s="1"/>
  <c r="D6" i="4"/>
  <c r="F6" i="4" s="1"/>
  <c r="D7" i="4"/>
  <c r="D8" i="4"/>
  <c r="D9" i="4"/>
  <c r="D10" i="4"/>
  <c r="D11" i="4"/>
  <c r="D2" i="4"/>
  <c r="F3" i="5"/>
  <c r="F4" i="5"/>
  <c r="F5" i="5"/>
  <c r="F6" i="5"/>
  <c r="F7" i="5"/>
  <c r="F8" i="5"/>
  <c r="F2" i="5"/>
</calcChain>
</file>

<file path=xl/sharedStrings.xml><?xml version="1.0" encoding="utf-8"?>
<sst xmlns="http://schemas.openxmlformats.org/spreadsheetml/2006/main" count="127" uniqueCount="108">
  <si>
    <t xml:space="preserve">Student ID </t>
  </si>
  <si>
    <t xml:space="preserve"> Name         </t>
  </si>
  <si>
    <t xml:space="preserve"> Math Score </t>
  </si>
  <si>
    <t xml:space="preserve"> Science Score </t>
  </si>
  <si>
    <t xml:space="preserve"> English Score </t>
  </si>
  <si>
    <t xml:space="preserve"> John Doe       </t>
  </si>
  <si>
    <t xml:space="preserve"> Jane Smith     </t>
  </si>
  <si>
    <t xml:space="preserve"> David Brown    </t>
  </si>
  <si>
    <t xml:space="preserve"> Emily Johnson  </t>
  </si>
  <si>
    <t xml:space="preserve"> Michael Lee    </t>
  </si>
  <si>
    <t xml:space="preserve"> Sarah Wang     </t>
  </si>
  <si>
    <t xml:space="preserve"> Daniel Kim     </t>
  </si>
  <si>
    <t xml:space="preserve"> Jessica Liu    </t>
  </si>
  <si>
    <t xml:space="preserve"> Ethan Chen     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</si>
  <si>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</si>
  <si>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</si>
  <si>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</si>
  <si>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Product ID</t>
  </si>
  <si>
    <t>Product Name</t>
  </si>
  <si>
    <t>Category</t>
  </si>
  <si>
    <t>Price</t>
  </si>
  <si>
    <t>Quantity</t>
  </si>
  <si>
    <t>Laptop</t>
  </si>
  <si>
    <t>Electronics</t>
  </si>
  <si>
    <t>T-shirt</t>
  </si>
  <si>
    <t>Clothing</t>
  </si>
  <si>
    <t>Smartphone</t>
  </si>
  <si>
    <t>Headphones</t>
  </si>
  <si>
    <t>Jeans</t>
  </si>
  <si>
    <t>Tablet</t>
  </si>
  <si>
    <t>Dress Shirt</t>
  </si>
  <si>
    <t>Camera</t>
  </si>
  <si>
    <t>Sneakers</t>
  </si>
  <si>
    <t>Smart Watch</t>
  </si>
  <si>
    <t>Task :</t>
  </si>
  <si>
    <t>1. Create a table to manage product inventory with columns for Product ID, Product Name, Category, Price, and Quantity.</t>
  </si>
  <si>
    <t>2. Calculate the total value of each product (Price * Quantity).</t>
  </si>
  <si>
    <t>3. Use data validation to create a drop-down list for selecting categories.</t>
  </si>
  <si>
    <t>4. Apply conditional formatting to highlight products with a price above $500.</t>
  </si>
  <si>
    <t>5. Insert a column chart to visualize the quantity of each product</t>
  </si>
  <si>
    <t>1. Calculate the total sales for each month using the SUM function.</t>
  </si>
  <si>
    <t>2. Calculate the average sales across all three products for each month using the AVERAGE function.</t>
  </si>
  <si>
    <t>4. Use MAX function to find the highest sales value among all products for each month.</t>
  </si>
  <si>
    <t>5. Create a line chart to visualize the trend of Sales A, Sales B, and Sales Cover the three months.</t>
  </si>
  <si>
    <t>Month</t>
  </si>
  <si>
    <t>Sales A</t>
  </si>
  <si>
    <t>Sales B</t>
  </si>
  <si>
    <t>Sales C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</si>
  <si>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</si>
  <si>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</si>
  <si>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</si>
  <si>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</si>
  <si>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</si>
  <si>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</si>
  <si>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</si>
  <si>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</si>
  <si>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</si>
  <si>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Calculate the profit for each product using a formula (Revenue - Cost).</t>
  </si>
  <si>
    <t>2. Calculate the total cost and total revenue using the SUM function.</t>
  </si>
  <si>
    <t>3. Use IF function to categorize each product as "Profitable" if Profit &gt; 0, otherwise "Not Profitable".</t>
  </si>
  <si>
    <t>4. Create a pie chart to represent the percentage distribution of Profitable and Not Profitable products.</t>
  </si>
  <si>
    <t>5. Format the financial statement with currency and percentage formats.</t>
  </si>
  <si>
    <t>Item</t>
  </si>
  <si>
    <t>Cost</t>
  </si>
  <si>
    <t>Revenue</t>
  </si>
  <si>
    <t>Profit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</si>
  <si>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</si>
  <si>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</si>
  <si>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</si>
  <si>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</si>
  <si>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</si>
  <si>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</si>
  <si>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</si>
  <si>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</si>
  <si>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</si>
  <si>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</si>
  <si>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1. Apply conditional formatting to highlight employees with a salary above $60000.</t>
  </si>
  <si>
    <t>2. Create a drop-down list for selecting departments using data validation.</t>
  </si>
  <si>
    <t>3. Use VLOOKUP function to retrieve the Department of Employee ID 2.</t>
  </si>
  <si>
    <t>4. Calculate the number of years each employee has been with the company using DATEDIF function.</t>
  </si>
  <si>
    <t>5. Create a PivotTable to summarize total salary by department.</t>
  </si>
  <si>
    <t>Employee ID</t>
  </si>
  <si>
    <t>Employee Name</t>
  </si>
  <si>
    <t>Department</t>
  </si>
  <si>
    <t>Salary</t>
  </si>
  <si>
    <t>Hire Date</t>
  </si>
  <si>
    <t>Emily|Johnson</t>
  </si>
  <si>
    <t>HR</t>
  </si>
  <si>
    <t>Michael|Lee</t>
  </si>
  <si>
    <t>Sales</t>
  </si>
  <si>
    <t>Sarah|Wang</t>
  </si>
  <si>
    <t>Finance</t>
  </si>
  <si>
    <t>Daniel|Kim</t>
  </si>
  <si>
    <t>Jessica|Liu</t>
  </si>
  <si>
    <t>Ethan|Chen</t>
  </si>
  <si>
    <t>Sophia|Brown</t>
  </si>
  <si>
    <t>WORKING_YEARS</t>
  </si>
  <si>
    <t>Row Labels</t>
  </si>
  <si>
    <t>Grand Total</t>
  </si>
  <si>
    <t>Sum of Salary</t>
  </si>
  <si>
    <t>TOTAL</t>
  </si>
  <si>
    <t>PROFIT IN %</t>
  </si>
  <si>
    <t>TOTAL SALES</t>
  </si>
  <si>
    <t>AVERAGE SALES</t>
  </si>
  <si>
    <t>MAX SALES</t>
  </si>
  <si>
    <r>
      <t>3. Us</t>
    </r>
    <r>
      <rPr>
        <sz val="11"/>
        <color rgb="FFFF0000"/>
        <rFont val="Calibri"/>
        <family val="2"/>
        <scheme val="minor"/>
      </rPr>
      <t>e COUNTIF function to count the number of months where Sales A exceeded 1000.</t>
    </r>
  </si>
  <si>
    <t>PRICE OF PRODUCT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</si>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</sst>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 wrapText="1" inden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0" fillId="0" borderId="1" xfId="0" applyNumberFormat="1" applyBorder="1"/>
    <xf numFmtId="0" fontId="2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2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6" fillId="0" borderId="1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top" wrapText="1"/>
    </xf>
    <xf numFmtId="165" fontId="0" fillId="0" borderId="1" xfId="0" applyNumberFormat="1" applyBorder="1"/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92D05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'Task-2'!$A$2:$C$11</c:f>
              <c:multiLvlStrCache>
                <c:ptCount val="10"/>
                <c:lvl>
                  <c:pt idx="0">
                    <c:v>Electronics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Clothing</c:v>
                  </c:pt>
                  <c:pt idx="5">
                    <c:v>Electronics</c:v>
                  </c:pt>
                  <c:pt idx="6">
                    <c:v>Clothing</c:v>
                  </c:pt>
                  <c:pt idx="7">
                    <c:v>Electronics</c:v>
                  </c:pt>
                  <c:pt idx="8">
                    <c:v>Clothing</c:v>
                  </c:pt>
                  <c:pt idx="9">
                    <c:v>Electronics</c:v>
                  </c:pt>
                </c:lvl>
                <c:lvl>
                  <c:pt idx="0">
                    <c:v>Laptop</c:v>
                  </c:pt>
                  <c:pt idx="1">
                    <c:v>T-shirt</c:v>
                  </c:pt>
                  <c:pt idx="2">
                    <c:v>Smartphone</c:v>
                  </c:pt>
                  <c:pt idx="3">
                    <c:v>Headphones</c:v>
                  </c:pt>
                  <c:pt idx="4">
                    <c:v>Jeans</c:v>
                  </c:pt>
                  <c:pt idx="5">
                    <c:v>Tablet</c:v>
                  </c:pt>
                  <c:pt idx="6">
                    <c:v>Dress Shirt</c:v>
                  </c:pt>
                  <c:pt idx="7">
                    <c:v>Camera</c:v>
                  </c:pt>
                  <c:pt idx="8">
                    <c:v>Sneakers</c:v>
                  </c:pt>
                  <c:pt idx="9">
                    <c:v>Smart Watch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'Task-2'!$E$2:$E$11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12</c:v>
                </c:pt>
                <c:pt idx="5">
                  <c:v>6</c:v>
                </c:pt>
                <c:pt idx="6">
                  <c:v>20</c:v>
                </c:pt>
                <c:pt idx="7">
                  <c:v>3</c:v>
                </c:pt>
                <c:pt idx="8">
                  <c:v>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26-4C4F-9091-890ADF568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78320"/>
        <c:axId val="2027945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'Task-2'!$A$2:$C$11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Electronics</c:v>
                        </c:pt>
                        <c:pt idx="1">
                          <c:v>Clothing</c:v>
                        </c:pt>
                        <c:pt idx="2">
                          <c:v>Electronics</c:v>
                        </c:pt>
                        <c:pt idx="3">
                          <c:v>Electronics</c:v>
                        </c:pt>
                        <c:pt idx="4">
                          <c:v>Clothing</c:v>
                        </c:pt>
                        <c:pt idx="5">
                          <c:v>Electronics</c:v>
                        </c:pt>
                        <c:pt idx="6">
                          <c:v>Clothing</c:v>
                        </c:pt>
                        <c:pt idx="7">
                          <c:v>Electronics</c:v>
                        </c:pt>
                        <c:pt idx="8">
                          <c:v>Clothing</c:v>
                        </c:pt>
                        <c:pt idx="9">
                          <c:v>Electronics</c:v>
                        </c:pt>
                      </c:lvl>
                      <c:lvl>
                        <c:pt idx="0">
                          <c:v>Laptop</c:v>
                        </c:pt>
                        <c:pt idx="1">
                          <c:v>T-shirt</c:v>
                        </c:pt>
                        <c:pt idx="2">
                          <c:v>Smartphone</c:v>
                        </c:pt>
                        <c:pt idx="3">
                          <c:v>Headphones</c:v>
                        </c:pt>
                        <c:pt idx="4">
                          <c:v>Jeans</c:v>
                        </c:pt>
                        <c:pt idx="5">
                          <c:v>Tablet</c:v>
                        </c:pt>
                        <c:pt idx="6">
                          <c:v>Dress Shirt</c:v>
                        </c:pt>
                        <c:pt idx="7">
                          <c:v>Camera</c:v>
                        </c:pt>
                        <c:pt idx="8">
                          <c:v>Sneakers</c:v>
                        </c:pt>
                        <c:pt idx="9">
                          <c:v>Smart Watch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'Task-2'!$D$2:$D$11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1000</c:v>
                      </c:pt>
                      <c:pt idx="1">
                        <c:v>20</c:v>
                      </c:pt>
                      <c:pt idx="2">
                        <c:v>500</c:v>
                      </c:pt>
                      <c:pt idx="3">
                        <c:v>200</c:v>
                      </c:pt>
                      <c:pt idx="4">
                        <c:v>50</c:v>
                      </c:pt>
                      <c:pt idx="5">
                        <c:v>700</c:v>
                      </c:pt>
                      <c:pt idx="6">
                        <c:v>30</c:v>
                      </c:pt>
                      <c:pt idx="7">
                        <c:v>1200</c:v>
                      </c:pt>
                      <c:pt idx="8">
                        <c:v>80</c:v>
                      </c:pt>
                      <c:pt idx="9">
                        <c:v>300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326-4C4F-9091-890ADF568BA5}"/>
                  </c:ext>
                </c:extLst>
              </c15:ser>
            </c15:filteredBarSeries>
          </c:ext>
        </c:extLst>
      </c:barChart>
      <c:catAx>
        <c:axId val="21047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94512"/>
        <c:crosses val="autoZero"/>
        <c:auto val="1"/>
        <c:lblAlgn val="ctr"/>
        <c:lblOffset val="100"/>
        <c:noMultiLvlLbl val="0"/>
      </c:catAx>
      <c:valAx>
        <c:axId val="20279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7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46981627296588"/>
          <c:y val="9.3009259259259264E-2"/>
          <c:w val="0.87753018372703417"/>
          <c:h val="0.49769028871391074"/>
        </c:manualLayout>
      </c:layout>
      <c:lineChart>
        <c:grouping val="standard"/>
        <c:varyColors val="0"/>
        <c:ser>
          <c:idx val="0"/>
          <c:order val="0"/>
          <c:tx>
            <c:strRef>
              <c:f>'Task-3'!$B$1</c:f>
              <c:strCache>
                <c:ptCount val="1"/>
                <c:pt idx="0">
                  <c:v>Sales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'Task-3'!$A$2:$A$10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'Task-3'!$B$2:$B$10</c:f>
              <c:numCache>
                <c:formatCode>General</c:formatCode>
                <c:ptCount val="9"/>
                <c:pt idx="0">
                  <c:v>1200</c:v>
                </c:pt>
                <c:pt idx="1">
                  <c:v>900</c:v>
                </c:pt>
                <c:pt idx="2">
                  <c:v>1300</c:v>
                </c:pt>
                <c:pt idx="3">
                  <c:v>1100</c:v>
                </c:pt>
                <c:pt idx="4">
                  <c:v>950</c:v>
                </c:pt>
                <c:pt idx="5">
                  <c:v>1150</c:v>
                </c:pt>
                <c:pt idx="6">
                  <c:v>1050</c:v>
                </c:pt>
                <c:pt idx="7">
                  <c:v>1000</c:v>
                </c:pt>
                <c:pt idx="8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8-432C-9D30-118E33BEFCB8}"/>
            </c:ext>
          </c:extLst>
        </c:ser>
        <c:ser>
          <c:idx val="1"/>
          <c:order val="1"/>
          <c:tx>
            <c:strRef>
              <c:f>'Task-3'!$C$1</c:f>
              <c:strCache>
                <c:ptCount val="1"/>
                <c:pt idx="0">
                  <c:v>Sales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'Task-3'!$A$2:$A$10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'Task-3'!$C$2:$C$10</c:f>
              <c:numCache>
                <c:formatCode>General</c:formatCode>
                <c:ptCount val="9"/>
                <c:pt idx="0">
                  <c:v>1100</c:v>
                </c:pt>
                <c:pt idx="1">
                  <c:v>1000</c:v>
                </c:pt>
                <c:pt idx="2">
                  <c:v>950</c:v>
                </c:pt>
                <c:pt idx="3">
                  <c:v>1200</c:v>
                </c:pt>
                <c:pt idx="4">
                  <c:v>800</c:v>
                </c:pt>
                <c:pt idx="5">
                  <c:v>1050</c:v>
                </c:pt>
                <c:pt idx="6">
                  <c:v>900</c:v>
                </c:pt>
                <c:pt idx="7">
                  <c:v>1150</c:v>
                </c:pt>
                <c:pt idx="8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78-432C-9D30-118E33BEFCB8}"/>
            </c:ext>
          </c:extLst>
        </c:ser>
        <c:ser>
          <c:idx val="2"/>
          <c:order val="2"/>
          <c:tx>
            <c:strRef>
              <c:f>'Task-3'!$D$1</c:f>
              <c:strCache>
                <c:ptCount val="1"/>
                <c:pt idx="0">
                  <c:v>Sales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'Task-3'!$A$2:$A$10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'Task-3'!$D$2:$D$10</c:f>
              <c:numCache>
                <c:formatCode>General</c:formatCode>
                <c:ptCount val="9"/>
                <c:pt idx="0">
                  <c:v>900</c:v>
                </c:pt>
                <c:pt idx="1">
                  <c:v>800</c:v>
                </c:pt>
                <c:pt idx="2">
                  <c:v>1050</c:v>
                </c:pt>
                <c:pt idx="3">
                  <c:v>850</c:v>
                </c:pt>
                <c:pt idx="4">
                  <c:v>950</c:v>
                </c:pt>
                <c:pt idx="5">
                  <c:v>1000</c:v>
                </c:pt>
                <c:pt idx="6">
                  <c:v>1100</c:v>
                </c:pt>
                <c:pt idx="7">
                  <c:v>950</c:v>
                </c:pt>
                <c:pt idx="8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78-432C-9D30-118E33BEF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67328"/>
        <c:axId val="202835312"/>
      </c:lineChart>
      <c:catAx>
        <c:axId val="167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35312"/>
        <c:crosses val="autoZero"/>
        <c:auto val="1"/>
        <c:lblAlgn val="ctr"/>
        <c:lblOffset val="100"/>
        <c:noMultiLvlLbl val="0"/>
      </c:catAx>
      <c:valAx>
        <c:axId val="2028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222222222222223E-2"/>
          <c:y val="0.20358814523184601"/>
          <c:w val="0.85275962379702541"/>
          <c:h val="0.7547451881014872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'Task-4'!$E$2:$E$11</c:f>
              <c:numCache>
                <c:formatCode>General</c:formatCode>
                <c:ptCount val="10"/>
                <c:pt idx="0">
                  <c:v>32.926829268292686</c:v>
                </c:pt>
                <c:pt idx="1">
                  <c:v>33.684210526315788</c:v>
                </c:pt>
                <c:pt idx="2">
                  <c:v>31.428571428571427</c:v>
                </c:pt>
                <c:pt idx="3">
                  <c:v>30.612244897959183</c:v>
                </c:pt>
                <c:pt idx="4">
                  <c:v>32.183908045977013</c:v>
                </c:pt>
                <c:pt idx="5">
                  <c:v>29.032258064516128</c:v>
                </c:pt>
                <c:pt idx="6">
                  <c:v>30.392156862745097</c:v>
                </c:pt>
                <c:pt idx="7">
                  <c:v>32.954545454545453</c:v>
                </c:pt>
                <c:pt idx="8">
                  <c:v>31.914893617021278</c:v>
                </c:pt>
                <c:pt idx="9">
                  <c:v>34.065934065934066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0-4D3F-83B2-CFCFF2A28CFE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</xdr:row>
      <xdr:rowOff>80010</xdr:rowOff>
    </xdr:from>
    <xdr:to>
      <xdr:col>5</xdr:col>
      <xdr:colOff>861060</xdr:colOff>
      <xdr:row>24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4AB81-2FA2-DF23-2B4C-09EFD41C8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0</xdr:row>
      <xdr:rowOff>3810</xdr:rowOff>
    </xdr:from>
    <xdr:to>
      <xdr:col>15</xdr:col>
      <xdr:colOff>281940</xdr:colOff>
      <xdr:row>15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8BA68B-C5AE-6ACD-6100-3BF0B9A8A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13</xdr:row>
      <xdr:rowOff>19050</xdr:rowOff>
    </xdr:from>
    <xdr:to>
      <xdr:col>5</xdr:col>
      <xdr:colOff>937260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C7BFC-B508-B564-8DCE-1181E5F73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208.685009606481" createdVersion="8" refreshedVersion="8" minRefreshableVersion="3" recordCount="7" xr:uid="{DB2AE512-7FAE-4700-9A18-7E05A6B958BF}">
  <cacheSource type="worksheet">
    <worksheetSource ref="A1:F8" sheet="Task-5"/>
  </cacheSource>
  <cacheFields count="6">
    <cacheField name="Employee ID" numFmtId="0">
      <sharedItems containsSemiMixedTypes="0" containsString="0" containsNumber="1" containsInteger="1" minValue="1" maxValue="7"/>
    </cacheField>
    <cacheField name="Employee Name" numFmtId="0">
      <sharedItems/>
    </cacheField>
    <cacheField name="Department" numFmtId="0">
      <sharedItems count="3">
        <s v="HR"/>
        <s v="Sales"/>
        <s v="Finance"/>
      </sharedItems>
    </cacheField>
    <cacheField name="Salary" numFmtId="0">
      <sharedItems containsSemiMixedTypes="0" containsString="0" containsNumber="1" containsInteger="1" minValue="55000" maxValue="72000" count="7">
        <n v="55000"/>
        <n v="65000"/>
        <n v="72000"/>
        <n v="63000"/>
        <n v="58000"/>
        <n v="68000"/>
        <n v="70000"/>
      </sharedItems>
    </cacheField>
    <cacheField name="Hire Date" numFmtId="14">
      <sharedItems containsSemiMixedTypes="0" containsNonDate="0" containsDate="1" containsString="0" minDate="2016-09-10T00:00:00" maxDate="2020-01-04T00:00:00"/>
    </cacheField>
    <cacheField name="WORKING_YEARS" numFmtId="0">
      <sharedItems containsSemiMixedTypes="0" containsString="0" containsNumber="1" containsInteger="1" minValue="6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s v="Emily|Johnson"/>
    <x v="0"/>
    <x v="0"/>
    <d v="2017-11-20T00:00:00"/>
    <n v="8"/>
  </r>
  <r>
    <n v="2"/>
    <s v="Michael|Lee"/>
    <x v="1"/>
    <x v="1"/>
    <d v="2019-08-05T00:00:00"/>
    <n v="6"/>
  </r>
  <r>
    <n v="3"/>
    <s v="Sarah|Wang"/>
    <x v="2"/>
    <x v="2"/>
    <d v="2018-02-15T00:00:00"/>
    <n v="8"/>
  </r>
  <r>
    <n v="4"/>
    <s v="Daniel|Kim"/>
    <x v="1"/>
    <x v="3"/>
    <d v="2020-01-03T00:00:00"/>
    <n v="6"/>
  </r>
  <r>
    <n v="5"/>
    <s v="Jessica|Liu"/>
    <x v="0"/>
    <x v="4"/>
    <d v="2016-09-10T00:00:00"/>
    <n v="9"/>
  </r>
  <r>
    <n v="6"/>
    <s v="Ethan|Chen"/>
    <x v="2"/>
    <x v="5"/>
    <d v="2017-06-25T00:00:00"/>
    <n v="9"/>
  </r>
  <r>
    <n v="7"/>
    <s v="Sophia|Brown"/>
    <x v="1"/>
    <x v="6"/>
    <d v="2019-04-12T00:00:0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824CB-A2FE-47D3-95FE-FEEE9A992804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3:B17" firstHeaderRow="1" firstDataRow="1" firstDataCol="1"/>
  <pivotFields count="6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>
      <items count="8">
        <item x="0"/>
        <item x="4"/>
        <item x="3"/>
        <item x="1"/>
        <item x="5"/>
        <item x="6"/>
        <item x="2"/>
        <item t="default"/>
      </items>
    </pivotField>
    <pivotField numFmtId="14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9ADD0A-496E-4556-96BE-1D24A9975056}" name="Table2" displayName="Table2" ref="A1:F11" totalsRowShown="0" headerRowDxfId="12" headerRowBorderDxfId="11" tableBorderDxfId="10" totalsRowBorderDxfId="9">
  <autoFilter ref="A1:F11" xr:uid="{DB9ADD0A-496E-4556-96BE-1D24A9975056}"/>
  <tableColumns count="6">
    <tableColumn id="1" xr3:uid="{97B093D7-AF9A-4EF1-99CC-3E5A23C1CBC9}" name="Product ID" dataDxfId="8"/>
    <tableColumn id="2" xr3:uid="{0E86A988-1CED-44D7-903D-CA2CF5C11D51}" name="Product Name" dataDxfId="7"/>
    <tableColumn id="3" xr3:uid="{234CE8B6-170F-454D-A3AD-B440D5491E75}" name="Category" dataDxfId="6"/>
    <tableColumn id="4" xr3:uid="{3969CAE3-167A-4DA5-BF22-B697A52C1EC5}" name="Price" dataDxfId="5"/>
    <tableColumn id="5" xr3:uid="{277A52A5-A58B-48F9-8B23-361DAB35D0BC}" name="Quantity" dataDxfId="4"/>
    <tableColumn id="6" xr3:uid="{8AB9E3C6-AD79-4795-BF98-E4B0A981F3ED}" name="PRICE OF PRODUCT" dataDxfId="3">
      <calculatedColumnFormula>Table2[[#This Row],[Price]]/Table2[[#This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B15" sqref="B15:E15"/>
    </sheetView>
  </sheetViews>
  <sheetFormatPr defaultRowHeight="14.4" x14ac:dyDescent="0.3"/>
  <cols>
    <col min="1" max="1" width="10.21875" bestFit="1" customWidth="1"/>
    <col min="2" max="2" width="14.109375" bestFit="1" customWidth="1"/>
    <col min="3" max="3" width="11.21875" bestFit="1" customWidth="1"/>
    <col min="4" max="4" width="12.88671875" bestFit="1" customWidth="1"/>
    <col min="5" max="5" width="12.5546875" bestFit="1" customWidth="1"/>
  </cols>
  <sheetData>
    <row r="1" spans="1:6" x14ac:dyDescent="0.3">
      <c r="A1" s="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9" t="s">
        <v>107</v>
      </c>
    </row>
    <row r="2" spans="1:6" x14ac:dyDescent="0.3">
      <c r="A2" s="6">
        <v>5</v>
      </c>
      <c r="B2" s="1" t="s">
        <v>9</v>
      </c>
      <c r="C2" s="28">
        <v>95</v>
      </c>
      <c r="D2" s="28">
        <v>91</v>
      </c>
      <c r="E2" s="28">
        <v>87</v>
      </c>
      <c r="F2" s="1">
        <f t="shared" ref="F2:F10" si="0">AVERAGE(C2:E2)</f>
        <v>91</v>
      </c>
    </row>
    <row r="3" spans="1:6" x14ac:dyDescent="0.3">
      <c r="A3" s="6">
        <v>2</v>
      </c>
      <c r="B3" s="1" t="s">
        <v>6</v>
      </c>
      <c r="C3" s="28">
        <v>92</v>
      </c>
      <c r="D3" s="28">
        <v>88</v>
      </c>
      <c r="E3" s="28">
        <v>90</v>
      </c>
      <c r="F3" s="1">
        <f t="shared" si="0"/>
        <v>90</v>
      </c>
    </row>
    <row r="4" spans="1:6" x14ac:dyDescent="0.3">
      <c r="A4" s="6">
        <v>9</v>
      </c>
      <c r="B4" s="1" t="s">
        <v>13</v>
      </c>
      <c r="C4" s="28">
        <v>91</v>
      </c>
      <c r="D4" s="28">
        <v>87</v>
      </c>
      <c r="E4" s="28">
        <v>91</v>
      </c>
      <c r="F4" s="1">
        <f t="shared" si="0"/>
        <v>89.666666666666671</v>
      </c>
    </row>
    <row r="5" spans="1:6" x14ac:dyDescent="0.3">
      <c r="A5" s="6">
        <v>7</v>
      </c>
      <c r="B5" s="1" t="s">
        <v>11</v>
      </c>
      <c r="C5" s="28">
        <v>90</v>
      </c>
      <c r="D5" s="28">
        <v>86</v>
      </c>
      <c r="E5" s="28">
        <v>88</v>
      </c>
      <c r="F5" s="1">
        <f t="shared" si="0"/>
        <v>88</v>
      </c>
    </row>
    <row r="6" spans="1:6" x14ac:dyDescent="0.3">
      <c r="A6" s="6">
        <v>4</v>
      </c>
      <c r="B6" s="1" t="s">
        <v>8</v>
      </c>
      <c r="C6" s="28">
        <v>88</v>
      </c>
      <c r="D6" s="28">
        <v>85</v>
      </c>
      <c r="E6" s="28">
        <v>92</v>
      </c>
      <c r="F6" s="1">
        <f t="shared" si="0"/>
        <v>88.333333333333329</v>
      </c>
    </row>
    <row r="7" spans="1:6" x14ac:dyDescent="0.3">
      <c r="A7" s="1">
        <v>8</v>
      </c>
      <c r="B7" s="1" t="s">
        <v>12</v>
      </c>
      <c r="C7" s="28">
        <v>87</v>
      </c>
      <c r="D7" s="28">
        <v>83</v>
      </c>
      <c r="E7" s="28">
        <v>89</v>
      </c>
      <c r="F7" s="1">
        <f t="shared" si="0"/>
        <v>86.333333333333329</v>
      </c>
    </row>
    <row r="8" spans="1:6" x14ac:dyDescent="0.3">
      <c r="A8" s="6">
        <v>1</v>
      </c>
      <c r="B8" s="1" t="s">
        <v>5</v>
      </c>
      <c r="C8" s="28">
        <v>85</v>
      </c>
      <c r="D8" s="28">
        <v>90</v>
      </c>
      <c r="E8" s="28">
        <v>88</v>
      </c>
      <c r="F8" s="1">
        <f t="shared" si="0"/>
        <v>87.666666666666671</v>
      </c>
    </row>
    <row r="9" spans="1:6" x14ac:dyDescent="0.3">
      <c r="A9" s="6">
        <v>6</v>
      </c>
      <c r="B9" s="1" t="s">
        <v>10</v>
      </c>
      <c r="C9" s="28">
        <v>82</v>
      </c>
      <c r="D9" s="28">
        <v>89</v>
      </c>
      <c r="E9" s="28">
        <v>84</v>
      </c>
      <c r="F9" s="1">
        <f t="shared" si="0"/>
        <v>85</v>
      </c>
    </row>
    <row r="10" spans="1:6" x14ac:dyDescent="0.3">
      <c r="A10" s="6">
        <v>3</v>
      </c>
      <c r="B10" s="1" t="s">
        <v>7</v>
      </c>
      <c r="C10" s="28">
        <v>78</v>
      </c>
      <c r="D10" s="28">
        <v>82</v>
      </c>
      <c r="E10" s="28">
        <v>85</v>
      </c>
      <c r="F10" s="1">
        <f t="shared" si="0"/>
        <v>81.666666666666671</v>
      </c>
    </row>
    <row r="13" spans="1:6" ht="27.45" customHeight="1" x14ac:dyDescent="0.3">
      <c r="A13" s="15"/>
      <c r="B13" s="27" t="s">
        <v>14</v>
      </c>
      <c r="C13" s="27"/>
      <c r="D13" s="27"/>
      <c r="E13" s="27"/>
    </row>
    <row r="14" spans="1:6" ht="28.05" customHeight="1" x14ac:dyDescent="0.3">
      <c r="A14" s="15"/>
      <c r="B14" s="27" t="s">
        <v>15</v>
      </c>
      <c r="C14" s="27"/>
      <c r="D14" s="27"/>
      <c r="E14" s="27"/>
    </row>
    <row r="15" spans="1:6" ht="19.95" customHeight="1" x14ac:dyDescent="0.3">
      <c r="B15" s="29" t="s">
        <v>16</v>
      </c>
      <c r="C15" s="29"/>
      <c r="D15" s="29"/>
      <c r="E15" s="29"/>
    </row>
  </sheetData>
  <sortState xmlns:xlrd2="http://schemas.microsoft.com/office/spreadsheetml/2017/richdata2" ref="A2:F10">
    <sortCondition descending="1" ref="C2:C10"/>
  </sortState>
  <mergeCells count="3">
    <mergeCell ref="B13:E13"/>
    <mergeCell ref="B14:E14"/>
    <mergeCell ref="B15:E15"/>
  </mergeCells>
  <conditionalFormatting sqref="F2:F10">
    <cfRule type="cellIs" dxfId="2" priority="1" operator="greaterThan">
      <formula>85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M17" sqref="M17"/>
    </sheetView>
  </sheetViews>
  <sheetFormatPr defaultRowHeight="14.4" x14ac:dyDescent="0.3"/>
  <cols>
    <col min="1" max="1" width="11.77734375" customWidth="1"/>
    <col min="2" max="2" width="15" customWidth="1"/>
    <col min="3" max="3" width="10.44140625" customWidth="1"/>
    <col min="5" max="5" width="10.21875" customWidth="1"/>
    <col min="6" max="6" width="12.77734375" customWidth="1"/>
    <col min="8" max="8" width="48.21875" customWidth="1"/>
  </cols>
  <sheetData>
    <row r="1" spans="1:8" x14ac:dyDescent="0.3">
      <c r="A1" s="19" t="s">
        <v>17</v>
      </c>
      <c r="B1" s="20" t="s">
        <v>18</v>
      </c>
      <c r="C1" s="20" t="s">
        <v>19</v>
      </c>
      <c r="D1" s="20" t="s">
        <v>20</v>
      </c>
      <c r="E1" s="21" t="s">
        <v>21</v>
      </c>
      <c r="F1" s="20" t="s">
        <v>106</v>
      </c>
    </row>
    <row r="2" spans="1:8" x14ac:dyDescent="0.3">
      <c r="A2" s="17">
        <v>1</v>
      </c>
      <c r="B2" s="1" t="s">
        <v>22</v>
      </c>
      <c r="C2" s="1" t="s">
        <v>23</v>
      </c>
      <c r="D2" s="1">
        <v>1000</v>
      </c>
      <c r="E2" s="18">
        <v>5</v>
      </c>
      <c r="F2" s="25">
        <f>Table2[[#This Row],[Price]]/Table2[[#This Row],[Quantity]]</f>
        <v>200</v>
      </c>
    </row>
    <row r="3" spans="1:8" x14ac:dyDescent="0.3">
      <c r="A3" s="17">
        <v>2</v>
      </c>
      <c r="B3" s="1" t="s">
        <v>24</v>
      </c>
      <c r="C3" s="1" t="s">
        <v>25</v>
      </c>
      <c r="D3" s="1">
        <v>20</v>
      </c>
      <c r="E3" s="18">
        <v>10</v>
      </c>
      <c r="F3" s="25">
        <f>Table2[[#This Row],[Price]]/Table2[[#This Row],[Quantity]]</f>
        <v>2</v>
      </c>
    </row>
    <row r="4" spans="1:8" x14ac:dyDescent="0.3">
      <c r="A4" s="17">
        <v>3</v>
      </c>
      <c r="B4" s="1" t="s">
        <v>26</v>
      </c>
      <c r="C4" s="1" t="s">
        <v>23</v>
      </c>
      <c r="D4" s="1">
        <v>500</v>
      </c>
      <c r="E4" s="18">
        <v>8</v>
      </c>
      <c r="F4" s="25">
        <f>Table2[[#This Row],[Price]]/Table2[[#This Row],[Quantity]]</f>
        <v>62.5</v>
      </c>
    </row>
    <row r="5" spans="1:8" x14ac:dyDescent="0.3">
      <c r="A5" s="17">
        <v>4</v>
      </c>
      <c r="B5" s="1" t="s">
        <v>27</v>
      </c>
      <c r="C5" s="1" t="s">
        <v>23</v>
      </c>
      <c r="D5" s="1">
        <v>200</v>
      </c>
      <c r="E5" s="18">
        <v>15</v>
      </c>
      <c r="F5" s="25">
        <f>Table2[[#This Row],[Price]]/Table2[[#This Row],[Quantity]]</f>
        <v>13.333333333333334</v>
      </c>
    </row>
    <row r="6" spans="1:8" x14ac:dyDescent="0.3">
      <c r="A6" s="17">
        <v>5</v>
      </c>
      <c r="B6" s="1" t="s">
        <v>28</v>
      </c>
      <c r="C6" s="1" t="s">
        <v>25</v>
      </c>
      <c r="D6" s="1">
        <v>50</v>
      </c>
      <c r="E6" s="18">
        <v>12</v>
      </c>
      <c r="F6" s="25">
        <f>Table2[[#This Row],[Price]]/Table2[[#This Row],[Quantity]]</f>
        <v>4.166666666666667</v>
      </c>
    </row>
    <row r="7" spans="1:8" x14ac:dyDescent="0.3">
      <c r="A7" s="17">
        <v>6</v>
      </c>
      <c r="B7" s="1" t="s">
        <v>29</v>
      </c>
      <c r="C7" s="1" t="s">
        <v>23</v>
      </c>
      <c r="D7" s="1">
        <v>700</v>
      </c>
      <c r="E7" s="18">
        <v>6</v>
      </c>
      <c r="F7" s="25">
        <f>Table2[[#This Row],[Price]]/Table2[[#This Row],[Quantity]]</f>
        <v>116.66666666666667</v>
      </c>
    </row>
    <row r="8" spans="1:8" x14ac:dyDescent="0.3">
      <c r="A8" s="17">
        <v>7</v>
      </c>
      <c r="B8" s="1" t="s">
        <v>30</v>
      </c>
      <c r="C8" s="1" t="s">
        <v>25</v>
      </c>
      <c r="D8" s="1">
        <v>30</v>
      </c>
      <c r="E8" s="18">
        <v>20</v>
      </c>
      <c r="F8" s="25">
        <f>Table2[[#This Row],[Price]]/Table2[[#This Row],[Quantity]]</f>
        <v>1.5</v>
      </c>
    </row>
    <row r="9" spans="1:8" x14ac:dyDescent="0.3">
      <c r="A9" s="17">
        <v>8</v>
      </c>
      <c r="B9" s="1" t="s">
        <v>31</v>
      </c>
      <c r="C9" s="1" t="s">
        <v>23</v>
      </c>
      <c r="D9" s="1">
        <v>1200</v>
      </c>
      <c r="E9" s="18">
        <v>3</v>
      </c>
      <c r="F9" s="25">
        <f>Table2[[#This Row],[Price]]/Table2[[#This Row],[Quantity]]</f>
        <v>400</v>
      </c>
    </row>
    <row r="10" spans="1:8" x14ac:dyDescent="0.3">
      <c r="A10" s="17">
        <v>9</v>
      </c>
      <c r="B10" s="1" t="s">
        <v>32</v>
      </c>
      <c r="C10" s="1" t="s">
        <v>25</v>
      </c>
      <c r="D10" s="1">
        <v>80</v>
      </c>
      <c r="E10" s="18">
        <v>7</v>
      </c>
      <c r="F10" s="25">
        <f>Table2[[#This Row],[Price]]/Table2[[#This Row],[Quantity]]</f>
        <v>11.428571428571429</v>
      </c>
    </row>
    <row r="11" spans="1:8" x14ac:dyDescent="0.3">
      <c r="A11" s="22">
        <v>10</v>
      </c>
      <c r="B11" s="23" t="s">
        <v>33</v>
      </c>
      <c r="C11" s="23" t="s">
        <v>23</v>
      </c>
      <c r="D11" s="23">
        <v>300</v>
      </c>
      <c r="E11" s="24">
        <v>10</v>
      </c>
      <c r="F11" s="25">
        <f>Table2[[#This Row],[Price]]/Table2[[#This Row],[Quantity]]</f>
        <v>30</v>
      </c>
    </row>
    <row r="12" spans="1:8" x14ac:dyDescent="0.3">
      <c r="H12" s="2" t="s">
        <v>34</v>
      </c>
    </row>
    <row r="13" spans="1:8" x14ac:dyDescent="0.3">
      <c r="H13" s="3"/>
    </row>
    <row r="14" spans="1:8" ht="24" x14ac:dyDescent="0.3">
      <c r="H14" s="26" t="s">
        <v>35</v>
      </c>
    </row>
    <row r="15" spans="1:8" x14ac:dyDescent="0.3">
      <c r="H15" s="26" t="s">
        <v>36</v>
      </c>
    </row>
    <row r="16" spans="1:8" ht="24" x14ac:dyDescent="0.3">
      <c r="H16" s="26" t="s">
        <v>37</v>
      </c>
    </row>
    <row r="17" spans="8:8" ht="24" x14ac:dyDescent="0.3">
      <c r="H17" s="26" t="s">
        <v>38</v>
      </c>
    </row>
    <row r="18" spans="8:8" x14ac:dyDescent="0.3">
      <c r="H18" s="26" t="s">
        <v>39</v>
      </c>
    </row>
  </sheetData>
  <conditionalFormatting sqref="D2:D11">
    <cfRule type="cellIs" dxfId="1" priority="1" operator="greaterThan">
      <formula>500</formula>
    </cfRule>
  </conditionalFormatting>
  <dataValidations count="1">
    <dataValidation type="list" allowBlank="1" showInputMessage="1" showErrorMessage="1" sqref="C1:C1048576" xr:uid="{DE51CB30-59AE-4185-B0F1-B7726091893C}">
      <formula1>"CLOTHING,ELECTRONICS"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workbookViewId="0">
      <selection activeCell="U18" sqref="U18:U19"/>
    </sheetView>
  </sheetViews>
  <sheetFormatPr defaultRowHeight="14.4" x14ac:dyDescent="0.3"/>
  <cols>
    <col min="1" max="1" width="9.88671875" bestFit="1" customWidth="1"/>
    <col min="2" max="2" width="6.6640625" bestFit="1" customWidth="1"/>
    <col min="3" max="4" width="6.5546875" bestFit="1" customWidth="1"/>
    <col min="5" max="5" width="12.5546875" customWidth="1"/>
    <col min="6" max="6" width="15" customWidth="1"/>
    <col min="7" max="7" width="15.88671875" customWidth="1"/>
  </cols>
  <sheetData>
    <row r="1" spans="1:7" x14ac:dyDescent="0.3">
      <c r="A1" s="5" t="s">
        <v>44</v>
      </c>
      <c r="B1" s="5" t="s">
        <v>45</v>
      </c>
      <c r="C1" s="5" t="s">
        <v>46</v>
      </c>
      <c r="D1" s="5" t="s">
        <v>47</v>
      </c>
      <c r="E1" s="16" t="s">
        <v>102</v>
      </c>
      <c r="F1" s="16" t="s">
        <v>103</v>
      </c>
      <c r="G1" s="16" t="s">
        <v>104</v>
      </c>
    </row>
    <row r="2" spans="1:7" x14ac:dyDescent="0.3">
      <c r="A2" s="1" t="s">
        <v>48</v>
      </c>
      <c r="B2" s="1">
        <v>1200</v>
      </c>
      <c r="C2" s="1">
        <v>1100</v>
      </c>
      <c r="D2" s="1">
        <v>900</v>
      </c>
      <c r="E2">
        <f>SUM(B2:D2)</f>
        <v>3200</v>
      </c>
      <c r="F2">
        <f>AVERAGE(B2:D2)</f>
        <v>1066.6666666666667</v>
      </c>
      <c r="G2">
        <f>MAX(B2:D2)</f>
        <v>1200</v>
      </c>
    </row>
    <row r="3" spans="1:7" x14ac:dyDescent="0.3">
      <c r="A3" s="1" t="s">
        <v>49</v>
      </c>
      <c r="B3" s="1">
        <v>900</v>
      </c>
      <c r="C3" s="1">
        <v>1000</v>
      </c>
      <c r="D3" s="1">
        <v>800</v>
      </c>
      <c r="E3">
        <f t="shared" ref="E3:E10" si="0">SUM(B3:D3)</f>
        <v>2700</v>
      </c>
      <c r="F3">
        <f t="shared" ref="F3:F10" si="1">AVERAGE(B3:D3)</f>
        <v>900</v>
      </c>
      <c r="G3">
        <f t="shared" ref="G3:G10" si="2">MAX(B3:D3)</f>
        <v>1000</v>
      </c>
    </row>
    <row r="4" spans="1:7" x14ac:dyDescent="0.3">
      <c r="A4" s="1" t="s">
        <v>50</v>
      </c>
      <c r="B4" s="1">
        <v>1300</v>
      </c>
      <c r="C4" s="1">
        <v>950</v>
      </c>
      <c r="D4" s="1">
        <v>1050</v>
      </c>
      <c r="E4">
        <f t="shared" si="0"/>
        <v>3300</v>
      </c>
      <c r="F4">
        <f t="shared" si="1"/>
        <v>1100</v>
      </c>
      <c r="G4">
        <f t="shared" si="2"/>
        <v>1300</v>
      </c>
    </row>
    <row r="5" spans="1:7" x14ac:dyDescent="0.3">
      <c r="A5" s="1" t="s">
        <v>51</v>
      </c>
      <c r="B5" s="1">
        <v>1100</v>
      </c>
      <c r="C5" s="1">
        <v>1200</v>
      </c>
      <c r="D5" s="1">
        <v>850</v>
      </c>
      <c r="E5">
        <f t="shared" si="0"/>
        <v>3150</v>
      </c>
      <c r="F5">
        <f t="shared" si="1"/>
        <v>1050</v>
      </c>
      <c r="G5">
        <f t="shared" si="2"/>
        <v>1200</v>
      </c>
    </row>
    <row r="6" spans="1:7" x14ac:dyDescent="0.3">
      <c r="A6" s="1" t="s">
        <v>52</v>
      </c>
      <c r="B6" s="1">
        <v>950</v>
      </c>
      <c r="C6" s="1">
        <v>800</v>
      </c>
      <c r="D6" s="1">
        <v>950</v>
      </c>
      <c r="E6">
        <f t="shared" si="0"/>
        <v>2700</v>
      </c>
      <c r="F6">
        <f t="shared" si="1"/>
        <v>900</v>
      </c>
      <c r="G6">
        <f t="shared" si="2"/>
        <v>950</v>
      </c>
    </row>
    <row r="7" spans="1:7" x14ac:dyDescent="0.3">
      <c r="A7" s="1" t="s">
        <v>53</v>
      </c>
      <c r="B7" s="1">
        <v>1150</v>
      </c>
      <c r="C7" s="1">
        <v>1050</v>
      </c>
      <c r="D7" s="1">
        <v>1000</v>
      </c>
      <c r="E7">
        <f t="shared" si="0"/>
        <v>3200</v>
      </c>
      <c r="F7">
        <f t="shared" si="1"/>
        <v>1066.6666666666667</v>
      </c>
      <c r="G7">
        <f t="shared" si="2"/>
        <v>1150</v>
      </c>
    </row>
    <row r="8" spans="1:7" x14ac:dyDescent="0.3">
      <c r="A8" s="1" t="s">
        <v>54</v>
      </c>
      <c r="B8" s="1">
        <v>1050</v>
      </c>
      <c r="C8" s="1">
        <v>900</v>
      </c>
      <c r="D8" s="1">
        <v>1100</v>
      </c>
      <c r="E8">
        <f t="shared" si="0"/>
        <v>3050</v>
      </c>
      <c r="F8">
        <f t="shared" si="1"/>
        <v>1016.6666666666666</v>
      </c>
      <c r="G8">
        <f t="shared" si="2"/>
        <v>1100</v>
      </c>
    </row>
    <row r="9" spans="1:7" x14ac:dyDescent="0.3">
      <c r="A9" s="1" t="s">
        <v>55</v>
      </c>
      <c r="B9" s="1">
        <v>1000</v>
      </c>
      <c r="C9" s="1">
        <v>1150</v>
      </c>
      <c r="D9" s="1">
        <v>950</v>
      </c>
      <c r="E9">
        <f t="shared" si="0"/>
        <v>3100</v>
      </c>
      <c r="F9">
        <f t="shared" si="1"/>
        <v>1033.3333333333333</v>
      </c>
      <c r="G9">
        <f t="shared" si="2"/>
        <v>1150</v>
      </c>
    </row>
    <row r="10" spans="1:7" x14ac:dyDescent="0.3">
      <c r="A10" s="1" t="s">
        <v>56</v>
      </c>
      <c r="B10" s="1">
        <v>1250</v>
      </c>
      <c r="C10" s="1">
        <v>1000</v>
      </c>
      <c r="D10" s="1">
        <v>1200</v>
      </c>
      <c r="E10">
        <f t="shared" si="0"/>
        <v>3450</v>
      </c>
      <c r="F10">
        <f t="shared" si="1"/>
        <v>1150</v>
      </c>
      <c r="G10">
        <f t="shared" si="2"/>
        <v>1250</v>
      </c>
    </row>
    <row r="15" spans="1:7" x14ac:dyDescent="0.3">
      <c r="G15" t="s">
        <v>34</v>
      </c>
    </row>
    <row r="17" spans="7:15" x14ac:dyDescent="0.3">
      <c r="G17" s="15" t="s">
        <v>40</v>
      </c>
      <c r="H17" s="15"/>
      <c r="I17" s="15"/>
      <c r="J17" s="15"/>
      <c r="K17" s="15"/>
      <c r="L17" s="15"/>
      <c r="M17" s="15"/>
      <c r="N17" s="15"/>
      <c r="O17" s="15"/>
    </row>
    <row r="18" spans="7:15" x14ac:dyDescent="0.3">
      <c r="G18" s="15" t="s">
        <v>41</v>
      </c>
      <c r="H18" s="15"/>
      <c r="I18" s="15"/>
      <c r="J18" s="15"/>
      <c r="K18" s="15"/>
      <c r="L18" s="15"/>
      <c r="M18" s="15"/>
      <c r="N18" s="15"/>
      <c r="O18" s="15"/>
    </row>
    <row r="19" spans="7:15" x14ac:dyDescent="0.3">
      <c r="G19" t="s">
        <v>105</v>
      </c>
    </row>
    <row r="20" spans="7:15" x14ac:dyDescent="0.3">
      <c r="G20" s="15" t="s">
        <v>42</v>
      </c>
      <c r="H20" s="15"/>
      <c r="I20" s="15"/>
      <c r="J20" s="15"/>
      <c r="K20" s="15"/>
      <c r="L20" s="15"/>
      <c r="M20" s="15"/>
      <c r="N20" s="15"/>
      <c r="O20" s="15"/>
    </row>
    <row r="21" spans="7:15" x14ac:dyDescent="0.3">
      <c r="G21" s="15" t="s">
        <v>43</v>
      </c>
      <c r="H21" s="15"/>
      <c r="I21" s="15"/>
      <c r="J21" s="15"/>
      <c r="K21" s="15"/>
      <c r="L21" s="15"/>
      <c r="M21" s="15"/>
      <c r="N21" s="15"/>
      <c r="O21" s="15"/>
    </row>
    <row r="22" spans="7:15" x14ac:dyDescent="0.3">
      <c r="G22" s="15"/>
      <c r="H22" s="15"/>
      <c r="I22" s="15"/>
      <c r="J22" s="15"/>
      <c r="K22" s="15"/>
      <c r="L22" s="15"/>
      <c r="M22" s="15"/>
      <c r="N22" s="15"/>
      <c r="O22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F9FF-FD80-4281-AFE9-6CCF2977C968}">
  <dimension ref="A1:R16"/>
  <sheetViews>
    <sheetView tabSelected="1" workbookViewId="0">
      <selection activeCell="H17" sqref="H17"/>
    </sheetView>
  </sheetViews>
  <sheetFormatPr defaultRowHeight="14.4" x14ac:dyDescent="0.3"/>
  <cols>
    <col min="1" max="1" width="9.44140625" bestFit="1" customWidth="1"/>
    <col min="2" max="3" width="10.33203125" bestFit="1" customWidth="1"/>
    <col min="4" max="5" width="12.21875" customWidth="1"/>
    <col min="6" max="6" width="18" customWidth="1"/>
  </cols>
  <sheetData>
    <row r="1" spans="1:18" x14ac:dyDescent="0.3">
      <c r="A1" s="5" t="s">
        <v>62</v>
      </c>
      <c r="B1" s="5" t="s">
        <v>63</v>
      </c>
      <c r="C1" s="5" t="s">
        <v>64</v>
      </c>
      <c r="D1" s="5" t="s">
        <v>65</v>
      </c>
      <c r="E1" s="5" t="s">
        <v>101</v>
      </c>
      <c r="F1" s="5" t="s">
        <v>65</v>
      </c>
    </row>
    <row r="2" spans="1:18" x14ac:dyDescent="0.3">
      <c r="A2" s="1" t="s">
        <v>66</v>
      </c>
      <c r="B2" s="13">
        <v>550</v>
      </c>
      <c r="C2" s="13">
        <v>820</v>
      </c>
      <c r="D2" s="13">
        <f>C2-B2</f>
        <v>270</v>
      </c>
      <c r="E2" s="1">
        <f>D2*100/C2</f>
        <v>32.926829268292686</v>
      </c>
      <c r="F2" s="1" t="str">
        <f>IF(D2&gt;0,"PROFITABLE","NOT_PROFITABLE")</f>
        <v>PROFITABLE</v>
      </c>
    </row>
    <row r="3" spans="1:18" x14ac:dyDescent="0.3">
      <c r="A3" s="1" t="s">
        <v>67</v>
      </c>
      <c r="B3" s="13">
        <v>630</v>
      </c>
      <c r="C3" s="13">
        <v>950</v>
      </c>
      <c r="D3" s="13">
        <f t="shared" ref="D3:D11" si="0">C3-B3</f>
        <v>320</v>
      </c>
      <c r="E3" s="1">
        <f t="shared" ref="E3:E11" si="1">D3*100/C3</f>
        <v>33.684210526315788</v>
      </c>
      <c r="F3" s="1" t="str">
        <f t="shared" ref="F3:F11" si="2">IF(D3&gt;0,"PROFITABLE","NOT_PROFITABLE")</f>
        <v>PROFITABLE</v>
      </c>
    </row>
    <row r="4" spans="1:18" x14ac:dyDescent="0.3">
      <c r="A4" s="1" t="s">
        <v>68</v>
      </c>
      <c r="B4" s="13">
        <v>720</v>
      </c>
      <c r="C4" s="13">
        <v>1050</v>
      </c>
      <c r="D4" s="13">
        <f t="shared" si="0"/>
        <v>330</v>
      </c>
      <c r="E4" s="1">
        <f t="shared" si="1"/>
        <v>31.428571428571427</v>
      </c>
      <c r="F4" s="1" t="str">
        <f t="shared" si="2"/>
        <v>PROFITABLE</v>
      </c>
    </row>
    <row r="5" spans="1:18" x14ac:dyDescent="0.3">
      <c r="A5" s="1" t="s">
        <v>69</v>
      </c>
      <c r="B5" s="13">
        <v>680</v>
      </c>
      <c r="C5" s="13">
        <v>980</v>
      </c>
      <c r="D5" s="13">
        <f t="shared" si="0"/>
        <v>300</v>
      </c>
      <c r="E5" s="1">
        <f t="shared" si="1"/>
        <v>30.612244897959183</v>
      </c>
      <c r="F5" s="1" t="str">
        <f t="shared" si="2"/>
        <v>PROFITABLE</v>
      </c>
    </row>
    <row r="6" spans="1:18" x14ac:dyDescent="0.3">
      <c r="A6" s="1" t="s">
        <v>70</v>
      </c>
      <c r="B6" s="13">
        <v>590</v>
      </c>
      <c r="C6" s="13">
        <v>870</v>
      </c>
      <c r="D6" s="13">
        <f t="shared" si="0"/>
        <v>280</v>
      </c>
      <c r="E6" s="1">
        <f t="shared" si="1"/>
        <v>32.183908045977013</v>
      </c>
      <c r="F6" s="1" t="str">
        <f t="shared" si="2"/>
        <v>PROFITABLE</v>
      </c>
    </row>
    <row r="7" spans="1:18" x14ac:dyDescent="0.3">
      <c r="A7" s="1" t="s">
        <v>71</v>
      </c>
      <c r="B7" s="13">
        <v>660</v>
      </c>
      <c r="C7" s="13">
        <v>930</v>
      </c>
      <c r="D7" s="13">
        <f t="shared" si="0"/>
        <v>270</v>
      </c>
      <c r="E7" s="1">
        <f t="shared" si="1"/>
        <v>29.032258064516128</v>
      </c>
      <c r="F7" s="1" t="str">
        <f t="shared" si="2"/>
        <v>PROFITABLE</v>
      </c>
    </row>
    <row r="8" spans="1:18" x14ac:dyDescent="0.3">
      <c r="A8" s="1" t="s">
        <v>72</v>
      </c>
      <c r="B8" s="13">
        <v>710</v>
      </c>
      <c r="C8" s="13">
        <v>1020</v>
      </c>
      <c r="D8" s="13">
        <f t="shared" si="0"/>
        <v>310</v>
      </c>
      <c r="E8" s="1">
        <f t="shared" si="1"/>
        <v>30.392156862745097</v>
      </c>
      <c r="F8" s="1" t="str">
        <f t="shared" si="2"/>
        <v>PROFITABLE</v>
      </c>
    </row>
    <row r="9" spans="1:18" x14ac:dyDescent="0.3">
      <c r="A9" s="1" t="s">
        <v>73</v>
      </c>
      <c r="B9" s="13">
        <v>590</v>
      </c>
      <c r="C9" s="13">
        <v>880</v>
      </c>
      <c r="D9" s="13">
        <f t="shared" si="0"/>
        <v>290</v>
      </c>
      <c r="E9" s="1">
        <f t="shared" si="1"/>
        <v>32.954545454545453</v>
      </c>
      <c r="F9" s="1" t="str">
        <f t="shared" si="2"/>
        <v>PROFITABLE</v>
      </c>
    </row>
    <row r="10" spans="1:18" x14ac:dyDescent="0.3">
      <c r="A10" s="1" t="s">
        <v>74</v>
      </c>
      <c r="B10" s="13">
        <v>640</v>
      </c>
      <c r="C10" s="13">
        <v>940</v>
      </c>
      <c r="D10" s="13">
        <f t="shared" si="0"/>
        <v>300</v>
      </c>
      <c r="E10" s="1">
        <f t="shared" si="1"/>
        <v>31.914893617021278</v>
      </c>
      <c r="F10" s="1" t="str">
        <f t="shared" si="2"/>
        <v>PROFITABLE</v>
      </c>
      <c r="I10" t="s">
        <v>34</v>
      </c>
    </row>
    <row r="11" spans="1:18" x14ac:dyDescent="0.3">
      <c r="A11" s="1" t="s">
        <v>75</v>
      </c>
      <c r="B11" s="13">
        <v>600</v>
      </c>
      <c r="C11" s="13">
        <v>910</v>
      </c>
      <c r="D11" s="13">
        <f t="shared" si="0"/>
        <v>310</v>
      </c>
      <c r="E11" s="1">
        <f t="shared" si="1"/>
        <v>34.065934065934066</v>
      </c>
      <c r="F11" s="1" t="str">
        <f t="shared" si="2"/>
        <v>PROFITABLE</v>
      </c>
    </row>
    <row r="12" spans="1:18" x14ac:dyDescent="0.3">
      <c r="A12" s="12" t="s">
        <v>100</v>
      </c>
      <c r="B12" s="13">
        <f>SUM(B2:B11)</f>
        <v>6370</v>
      </c>
      <c r="C12" s="13">
        <f>SUM(C2:C11)</f>
        <v>9350</v>
      </c>
      <c r="D12" s="13"/>
      <c r="E12" s="1"/>
      <c r="F12" s="1"/>
      <c r="I12" s="15" t="s">
        <v>57</v>
      </c>
      <c r="J12" s="15"/>
      <c r="K12" s="15"/>
      <c r="L12" s="15"/>
      <c r="M12" s="15"/>
      <c r="N12" s="15"/>
      <c r="O12" s="15"/>
      <c r="P12" s="15"/>
      <c r="Q12" s="15"/>
      <c r="R12" s="15"/>
    </row>
    <row r="13" spans="1:18" x14ac:dyDescent="0.3">
      <c r="I13" s="15" t="s">
        <v>58</v>
      </c>
      <c r="J13" s="15"/>
      <c r="K13" s="15"/>
      <c r="L13" s="15"/>
      <c r="M13" s="15"/>
      <c r="N13" s="15"/>
      <c r="O13" s="15"/>
      <c r="P13" s="15"/>
      <c r="Q13" s="15"/>
      <c r="R13" s="15"/>
    </row>
    <row r="14" spans="1:18" x14ac:dyDescent="0.3">
      <c r="I14" s="15" t="s">
        <v>59</v>
      </c>
      <c r="J14" s="15"/>
      <c r="K14" s="15"/>
      <c r="L14" s="15"/>
      <c r="M14" s="15"/>
      <c r="N14" s="15"/>
      <c r="O14" s="15"/>
      <c r="P14" s="15"/>
      <c r="Q14" s="15"/>
      <c r="R14" s="15"/>
    </row>
    <row r="15" spans="1:18" x14ac:dyDescent="0.3">
      <c r="I15" s="15" t="s">
        <v>60</v>
      </c>
      <c r="J15" s="15"/>
      <c r="K15" s="15"/>
      <c r="L15" s="15"/>
      <c r="M15" s="15"/>
      <c r="N15" s="15"/>
      <c r="O15" s="15"/>
      <c r="P15" s="15"/>
      <c r="Q15" s="15"/>
      <c r="R15" s="15"/>
    </row>
    <row r="16" spans="1:18" x14ac:dyDescent="0.3">
      <c r="I16" s="15" t="s">
        <v>61</v>
      </c>
      <c r="J16" s="15"/>
      <c r="K16" s="15"/>
      <c r="L16" s="15"/>
      <c r="M16" s="15"/>
      <c r="N16" s="15"/>
      <c r="O16" s="15"/>
      <c r="P16" s="15"/>
      <c r="Q16" s="15"/>
      <c r="R16" s="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7D5C-9620-4905-8C3B-7F290BF6B079}">
  <dimension ref="A1:R17"/>
  <sheetViews>
    <sheetView workbookViewId="0">
      <selection activeCell="I16" sqref="I16:R17"/>
    </sheetView>
  </sheetViews>
  <sheetFormatPr defaultRowHeight="14.4" x14ac:dyDescent="0.3"/>
  <cols>
    <col min="1" max="2" width="12.5546875" bestFit="1" customWidth="1"/>
    <col min="3" max="3" width="11.109375" bestFit="1" customWidth="1"/>
    <col min="4" max="4" width="5.77734375" bestFit="1" customWidth="1"/>
    <col min="5" max="5" width="10.109375" bestFit="1" customWidth="1"/>
    <col min="6" max="6" width="15.88671875" customWidth="1"/>
  </cols>
  <sheetData>
    <row r="1" spans="1:18" x14ac:dyDescent="0.3">
      <c r="A1" s="4" t="s">
        <v>81</v>
      </c>
      <c r="B1" s="4" t="s">
        <v>82</v>
      </c>
      <c r="C1" s="4" t="s">
        <v>83</v>
      </c>
      <c r="D1" s="4" t="s">
        <v>84</v>
      </c>
      <c r="E1" s="4" t="s">
        <v>85</v>
      </c>
      <c r="F1" s="4" t="s">
        <v>96</v>
      </c>
    </row>
    <row r="2" spans="1:18" x14ac:dyDescent="0.3">
      <c r="A2" s="1">
        <v>1</v>
      </c>
      <c r="B2" s="1" t="s">
        <v>86</v>
      </c>
      <c r="C2" s="1" t="s">
        <v>87</v>
      </c>
      <c r="D2" s="1">
        <v>55000</v>
      </c>
      <c r="E2" s="8">
        <v>43059</v>
      </c>
      <c r="F2" s="1">
        <f ca="1">DATEDIF(E2,TODAY(),"Y")</f>
        <v>8</v>
      </c>
    </row>
    <row r="3" spans="1:18" x14ac:dyDescent="0.3">
      <c r="A3" s="1">
        <v>2</v>
      </c>
      <c r="B3" s="1" t="s">
        <v>88</v>
      </c>
      <c r="C3" s="1" t="s">
        <v>89</v>
      </c>
      <c r="D3" s="1">
        <v>65000</v>
      </c>
      <c r="E3" s="8">
        <v>43682</v>
      </c>
      <c r="F3" s="1">
        <f t="shared" ref="F3:F8" ca="1" si="0">DATEDIF(E3,TODAY(),"Y")</f>
        <v>6</v>
      </c>
    </row>
    <row r="4" spans="1:18" x14ac:dyDescent="0.3">
      <c r="A4" s="1">
        <v>3</v>
      </c>
      <c r="B4" s="1" t="s">
        <v>90</v>
      </c>
      <c r="C4" s="1" t="s">
        <v>91</v>
      </c>
      <c r="D4" s="1">
        <v>72000</v>
      </c>
      <c r="E4" s="8">
        <v>43146</v>
      </c>
      <c r="F4" s="1">
        <f t="shared" ca="1" si="0"/>
        <v>8</v>
      </c>
    </row>
    <row r="5" spans="1:18" x14ac:dyDescent="0.3">
      <c r="A5" s="1">
        <v>4</v>
      </c>
      <c r="B5" s="1" t="s">
        <v>92</v>
      </c>
      <c r="C5" s="1" t="s">
        <v>89</v>
      </c>
      <c r="D5" s="1">
        <v>63000</v>
      </c>
      <c r="E5" s="8">
        <v>43833</v>
      </c>
      <c r="F5" s="1">
        <f t="shared" ca="1" si="0"/>
        <v>6</v>
      </c>
    </row>
    <row r="6" spans="1:18" x14ac:dyDescent="0.3">
      <c r="A6" s="1">
        <v>5</v>
      </c>
      <c r="B6" s="1" t="s">
        <v>93</v>
      </c>
      <c r="C6" s="1" t="s">
        <v>87</v>
      </c>
      <c r="D6" s="1">
        <v>58000</v>
      </c>
      <c r="E6" s="8">
        <v>42623</v>
      </c>
      <c r="F6" s="1">
        <f t="shared" ca="1" si="0"/>
        <v>9</v>
      </c>
    </row>
    <row r="7" spans="1:18" x14ac:dyDescent="0.3">
      <c r="A7" s="1">
        <v>6</v>
      </c>
      <c r="B7" s="1" t="s">
        <v>94</v>
      </c>
      <c r="C7" s="1" t="s">
        <v>91</v>
      </c>
      <c r="D7" s="1">
        <v>68000</v>
      </c>
      <c r="E7" s="8">
        <v>42911</v>
      </c>
      <c r="F7" s="1">
        <f t="shared" ca="1" si="0"/>
        <v>9</v>
      </c>
    </row>
    <row r="8" spans="1:18" x14ac:dyDescent="0.3">
      <c r="A8" s="1">
        <v>7</v>
      </c>
      <c r="B8" s="1" t="s">
        <v>95</v>
      </c>
      <c r="C8" s="1" t="s">
        <v>89</v>
      </c>
      <c r="D8" s="1">
        <v>70000</v>
      </c>
      <c r="E8" s="8">
        <v>43567</v>
      </c>
      <c r="F8" s="1">
        <f t="shared" ca="1" si="0"/>
        <v>7</v>
      </c>
    </row>
    <row r="11" spans="1:18" x14ac:dyDescent="0.3">
      <c r="I11" t="s">
        <v>34</v>
      </c>
    </row>
    <row r="13" spans="1:18" x14ac:dyDescent="0.3">
      <c r="A13" s="10" t="s">
        <v>97</v>
      </c>
      <c r="B13" t="s">
        <v>99</v>
      </c>
      <c r="I13" s="15" t="s">
        <v>76</v>
      </c>
      <c r="J13" s="15"/>
      <c r="K13" s="15"/>
      <c r="L13" s="15"/>
      <c r="M13" s="15"/>
      <c r="N13" s="15"/>
      <c r="O13" s="15"/>
      <c r="P13" s="15"/>
    </row>
    <row r="14" spans="1:18" x14ac:dyDescent="0.3">
      <c r="A14" s="11" t="s">
        <v>89</v>
      </c>
      <c r="B14">
        <v>198000</v>
      </c>
      <c r="I14" s="15" t="s">
        <v>77</v>
      </c>
      <c r="J14" s="15"/>
      <c r="K14" s="15"/>
      <c r="L14" s="15"/>
      <c r="M14" s="15"/>
      <c r="N14" s="15"/>
      <c r="O14" s="15"/>
      <c r="P14" s="15"/>
    </row>
    <row r="15" spans="1:18" x14ac:dyDescent="0.3">
      <c r="A15" s="11" t="s">
        <v>87</v>
      </c>
      <c r="B15">
        <v>113000</v>
      </c>
      <c r="I15" s="14" t="s">
        <v>78</v>
      </c>
      <c r="J15" s="14"/>
      <c r="K15" s="14"/>
      <c r="L15" s="14"/>
      <c r="M15" s="14"/>
      <c r="N15" s="14"/>
      <c r="O15" s="14"/>
    </row>
    <row r="16" spans="1:18" x14ac:dyDescent="0.3">
      <c r="A16" s="11" t="s">
        <v>91</v>
      </c>
      <c r="B16">
        <v>140000</v>
      </c>
      <c r="I16" s="15" t="s">
        <v>79</v>
      </c>
      <c r="J16" s="15"/>
      <c r="K16" s="15"/>
      <c r="L16" s="15"/>
      <c r="M16" s="15"/>
      <c r="N16" s="15"/>
      <c r="O16" s="15"/>
      <c r="P16" s="15"/>
      <c r="Q16" s="15"/>
      <c r="R16" s="15"/>
    </row>
    <row r="17" spans="1:18" x14ac:dyDescent="0.3">
      <c r="A17" s="11" t="s">
        <v>98</v>
      </c>
      <c r="B17">
        <v>451000</v>
      </c>
      <c r="I17" s="15" t="s">
        <v>80</v>
      </c>
      <c r="J17" s="15"/>
      <c r="K17" s="15"/>
      <c r="L17" s="15"/>
      <c r="M17" s="15"/>
      <c r="N17" s="15"/>
      <c r="O17" s="15"/>
      <c r="P17" s="15"/>
      <c r="Q17" s="15"/>
      <c r="R17" s="15"/>
    </row>
  </sheetData>
  <conditionalFormatting sqref="D2:D7">
    <cfRule type="cellIs" dxfId="0" priority="1" operator="greaterThan">
      <formula>60000</formula>
    </cfRule>
  </conditionalFormatting>
  <dataValidations count="1">
    <dataValidation type="list" allowBlank="1" showInputMessage="1" showErrorMessage="1" sqref="C2:C8" xr:uid="{655E4340-365D-40C6-A3DD-ECC8DF742C1A}">
      <formula1>"HR,SALES,FINANCE"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</dc:creator>
  <cp:lastModifiedBy>nikhil ahirkar</cp:lastModifiedBy>
  <dcterms:created xsi:type="dcterms:W3CDTF">2024-06-25T12:42:29Z</dcterms:created>
  <dcterms:modified xsi:type="dcterms:W3CDTF">2026-07-07T01:43:53Z</dcterms:modified>
</cp:coreProperties>
</file>